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G7" i="1"/>
  <c r="J7" s="1"/>
  <c r="D3" i="2"/>
  <c r="D4"/>
  <c r="D5"/>
  <c r="D6"/>
  <c r="D7"/>
  <c r="D8"/>
  <c r="D9"/>
  <c r="D10"/>
  <c r="D11"/>
  <c r="D12"/>
  <c r="D13"/>
  <c r="D14"/>
  <c r="D2"/>
  <c r="C4"/>
  <c r="C5"/>
  <c r="C6" s="1"/>
  <c r="C7" s="1"/>
  <c r="C8" s="1"/>
  <c r="C9" s="1"/>
  <c r="C10" s="1"/>
  <c r="C11" s="1"/>
  <c r="C12" s="1"/>
  <c r="C13" s="1"/>
  <c r="C14" s="1"/>
  <c r="C3"/>
  <c r="E8" i="1"/>
  <c r="E9" s="1"/>
  <c r="E10" s="1"/>
  <c r="E11" s="1"/>
  <c r="G9" l="1"/>
  <c r="I9" s="1"/>
  <c r="G10"/>
  <c r="I10" s="1"/>
  <c r="G8"/>
  <c r="H8" s="1"/>
  <c r="I7"/>
  <c r="H7"/>
  <c r="E13"/>
  <c r="G11" l="1"/>
  <c r="H10"/>
  <c r="I8"/>
  <c r="H9"/>
  <c r="I11" l="1"/>
  <c r="H11"/>
  <c r="G13" l="1"/>
  <c r="J13" l="1"/>
  <c r="I13" l="1"/>
  <c r="J15" s="1"/>
  <c r="H13"/>
  <c r="H15" s="1"/>
  <c r="J8"/>
  <c r="J9" s="1"/>
  <c r="J10" s="1"/>
  <c r="J11" s="1"/>
  <c r="C17" l="1"/>
  <c r="C18" l="1"/>
  <c r="K8" l="1"/>
  <c r="L8" s="1"/>
  <c r="K11"/>
  <c r="L11" s="1"/>
  <c r="K10"/>
  <c r="L10" s="1"/>
  <c r="K9"/>
  <c r="L9" s="1"/>
  <c r="K7"/>
  <c r="L7" s="1"/>
  <c r="L13" s="1"/>
</calcChain>
</file>

<file path=xl/sharedStrings.xml><?xml version="1.0" encoding="utf-8"?>
<sst xmlns="http://schemas.openxmlformats.org/spreadsheetml/2006/main" count="24" uniqueCount="24">
  <si>
    <t>测量点</t>
    <phoneticPr fontId="1" type="noConversion"/>
  </si>
  <si>
    <t>每个点的默认时间</t>
    <phoneticPr fontId="1" type="noConversion"/>
  </si>
  <si>
    <t>秒</t>
    <phoneticPr fontId="1" type="noConversion"/>
  </si>
  <si>
    <t>实际风速值Vs（m/s)</t>
    <phoneticPr fontId="1" type="noConversion"/>
  </si>
  <si>
    <t>测量时间</t>
    <phoneticPr fontId="1" type="noConversion"/>
  </si>
  <si>
    <t>测量点数</t>
    <phoneticPr fontId="1" type="noConversion"/>
  </si>
  <si>
    <t>Vz*Vs</t>
    <phoneticPr fontId="1" type="noConversion"/>
  </si>
  <si>
    <t>∑Vz</t>
    <phoneticPr fontId="1" type="noConversion"/>
  </si>
  <si>
    <t>∑Vs</t>
    <phoneticPr fontId="1" type="noConversion"/>
  </si>
  <si>
    <t>∑Vz*Vs</t>
    <phoneticPr fontId="1" type="noConversion"/>
  </si>
  <si>
    <t>a</t>
    <phoneticPr fontId="1" type="noConversion"/>
  </si>
  <si>
    <t>∑Vz2</t>
    <phoneticPr fontId="1" type="noConversion"/>
  </si>
  <si>
    <t>分子</t>
    <phoneticPr fontId="1" type="noConversion"/>
  </si>
  <si>
    <t>分母</t>
    <phoneticPr fontId="1" type="noConversion"/>
  </si>
  <si>
    <t>b</t>
    <phoneticPr fontId="1" type="noConversion"/>
  </si>
  <si>
    <t>座标示值</t>
    <phoneticPr fontId="1" type="noConversion"/>
  </si>
  <si>
    <t>计算值</t>
    <phoneticPr fontId="1" type="noConversion"/>
  </si>
  <si>
    <t>误差</t>
    <phoneticPr fontId="1" type="noConversion"/>
  </si>
  <si>
    <r>
      <t>Vz</t>
    </r>
    <r>
      <rPr>
        <vertAlign val="superscript"/>
        <sz val="16"/>
        <rFont val="宋体"/>
        <family val="3"/>
        <charset val="134"/>
        <scheme val="minor"/>
      </rPr>
      <t>2</t>
    </r>
    <phoneticPr fontId="1" type="noConversion"/>
  </si>
  <si>
    <t>风表示值Vz（格）</t>
    <phoneticPr fontId="1" type="noConversion"/>
  </si>
  <si>
    <t>风表示值Vz（格/s）</t>
    <phoneticPr fontId="1" type="noConversion"/>
  </si>
  <si>
    <t>平均误差</t>
    <phoneticPr fontId="1" type="noConversion"/>
  </si>
  <si>
    <t>结果</t>
    <phoneticPr fontId="1" type="noConversion"/>
  </si>
  <si>
    <t>把绿色部分的填充颜色去掉，字体改为白色，就看不见中间过程了，只留一个结果和曲线。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</si>
</sst>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6"/>
      <name val="宋体"/>
      <family val="2"/>
      <charset val="134"/>
      <scheme val="minor"/>
    </font>
    <font>
      <sz val="16"/>
      <name val="宋体"/>
      <family val="3"/>
      <charset val="134"/>
      <scheme val="minor"/>
    </font>
    <font>
      <vertAlign val="superscript"/>
      <sz val="16"/>
      <name val="宋体"/>
      <family val="3"/>
      <charset val="134"/>
      <scheme val="minor"/>
    </font>
    <font>
      <b/>
      <sz val="16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3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>
      <alignment vertical="center"/>
    </xf>
    <xf numFmtId="176" fontId="3" fillId="2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vertical="center" wrapText="1"/>
    </xf>
    <xf numFmtId="0" fontId="2" fillId="2" borderId="0" xfId="0" applyFont="1" applyFill="1">
      <alignment vertical="center"/>
    </xf>
    <xf numFmtId="176" fontId="3" fillId="2" borderId="0" xfId="0" applyNumberFormat="1" applyFont="1" applyFill="1">
      <alignment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176" fontId="5" fillId="0" borderId="1" xfId="0" applyNumberFormat="1" applyFont="1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9.4485143555528853E-2"/>
          <c:y val="2.8252405949256338E-2"/>
          <c:w val="0.79137745186431852"/>
          <c:h val="0.79822506561679785"/>
        </c:manualLayout>
      </c:layout>
      <c:lineChart>
        <c:grouping val="stacked"/>
        <c:ser>
          <c:idx val="0"/>
          <c:order val="0"/>
          <c:marker>
            <c:symbol val="none"/>
          </c:marker>
          <c:cat>
            <c:numRef>
              <c:f>Sheet1!$J$7:$J$11</c:f>
              <c:numCache>
                <c:formatCode>0.00_ </c:formatCode>
                <c:ptCount val="5"/>
                <c:pt idx="0">
                  <c:v>5</c:v>
                </c:pt>
                <c:pt idx="1">
                  <c:v>6.625</c:v>
                </c:pt>
                <c:pt idx="2">
                  <c:v>8.25</c:v>
                </c:pt>
                <c:pt idx="3">
                  <c:v>9.875</c:v>
                </c:pt>
                <c:pt idx="4">
                  <c:v>11.5</c:v>
                </c:pt>
              </c:numCache>
            </c:numRef>
          </c:cat>
          <c:val>
            <c:numRef>
              <c:f>Sheet1!$K$7:$K$11</c:f>
              <c:numCache>
                <c:formatCode>General</c:formatCode>
                <c:ptCount val="5"/>
                <c:pt idx="0">
                  <c:v>1.9757311251424632</c:v>
                </c:pt>
                <c:pt idx="1">
                  <c:v>3.9735183765870117</c:v>
                </c:pt>
                <c:pt idx="2">
                  <c:v>5.9713056280315593</c:v>
                </c:pt>
                <c:pt idx="3">
                  <c:v>7.9690928794761087</c:v>
                </c:pt>
                <c:pt idx="4">
                  <c:v>9.9668801309206572</c:v>
                </c:pt>
              </c:numCache>
            </c:numRef>
          </c:val>
        </c:ser>
        <c:marker val="1"/>
        <c:axId val="119288576"/>
        <c:axId val="119290112"/>
      </c:lineChart>
      <c:catAx>
        <c:axId val="119288576"/>
        <c:scaling>
          <c:orientation val="minMax"/>
        </c:scaling>
        <c:axPos val="b"/>
        <c:numFmt formatCode="0.00_ " sourceLinked="1"/>
        <c:tickLblPos val="nextTo"/>
        <c:crossAx val="119290112"/>
        <c:crosses val="autoZero"/>
        <c:auto val="1"/>
        <c:lblAlgn val="ctr"/>
        <c:lblOffset val="100"/>
      </c:catAx>
      <c:valAx>
        <c:axId val="119290112"/>
        <c:scaling>
          <c:orientation val="minMax"/>
        </c:scaling>
        <c:axPos val="l"/>
        <c:majorGridlines/>
        <c:numFmt formatCode="General" sourceLinked="1"/>
        <c:tickLblPos val="nextTo"/>
        <c:crossAx val="119288576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cked"/>
        <c:ser>
          <c:idx val="0"/>
          <c:order val="0"/>
          <c:marker>
            <c:symbol val="none"/>
          </c:marker>
          <c:val>
            <c:numRef>
              <c:f>Sheet2!$D$2:$D$14</c:f>
              <c:numCache>
                <c:formatCode>General</c:formatCode>
                <c:ptCount val="13"/>
                <c:pt idx="0">
                  <c:v>0</c:v>
                </c:pt>
                <c:pt idx="1">
                  <c:v>0.49999999999999994</c:v>
                </c:pt>
                <c:pt idx="2">
                  <c:v>0.8660254037844386</c:v>
                </c:pt>
                <c:pt idx="3">
                  <c:v>1</c:v>
                </c:pt>
                <c:pt idx="4">
                  <c:v>0.86602540378443871</c:v>
                </c:pt>
                <c:pt idx="5">
                  <c:v>0.49999999999999994</c:v>
                </c:pt>
                <c:pt idx="6">
                  <c:v>1.22514845490862E-16</c:v>
                </c:pt>
                <c:pt idx="7">
                  <c:v>-0.50000000000000011</c:v>
                </c:pt>
                <c:pt idx="8">
                  <c:v>-0.86602540378443837</c:v>
                </c:pt>
                <c:pt idx="9">
                  <c:v>-1</c:v>
                </c:pt>
                <c:pt idx="10">
                  <c:v>-0.8660254037844386</c:v>
                </c:pt>
                <c:pt idx="11">
                  <c:v>-0.50000000000000044</c:v>
                </c:pt>
                <c:pt idx="12">
                  <c:v>-2.45029690981724E-16</c:v>
                </c:pt>
              </c:numCache>
            </c:numRef>
          </c:val>
        </c:ser>
        <c:marker val="1"/>
        <c:axId val="119810304"/>
        <c:axId val="119832576"/>
      </c:lineChart>
      <c:catAx>
        <c:axId val="119810304"/>
        <c:scaling>
          <c:orientation val="minMax"/>
        </c:scaling>
        <c:axPos val="b"/>
        <c:numFmt formatCode="General" sourceLinked="1"/>
        <c:tickLblPos val="nextTo"/>
        <c:crossAx val="119832576"/>
        <c:crosses val="autoZero"/>
        <c:auto val="1"/>
        <c:lblAlgn val="ctr"/>
        <c:lblOffset val="100"/>
      </c:catAx>
      <c:valAx>
        <c:axId val="119832576"/>
        <c:scaling>
          <c:orientation val="minMax"/>
        </c:scaling>
        <c:axPos val="l"/>
        <c:majorGridlines/>
        <c:numFmt formatCode="General" sourceLinked="1"/>
        <c:tickLblPos val="nextTo"/>
        <c:crossAx val="119810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152399</xdr:colOff>
      <xdr:row>20</xdr:row>
      <xdr:rowOff>238125</xdr:rowOff>
    </xdr:from>
    <xdr:to>
      <xdr:col>8</xdr:col>
      <xdr:colOff>552450</xdr:colOff>
      <xdr:row>33</xdr:row>
      <xdr:rowOff>57150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14</xdr:row>
      <xdr:rowOff>123825</xdr:rowOff>
    </xdr:from>
    <xdr:to>
      <xdr:col>12</xdr:col>
      <xdr:colOff>228600</xdr:colOff>
      <xdr:row>30</xdr:row>
      <xdr:rowOff>123825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L36"/>
  <sheetViews>
    <sheetView tabSelected="1" workbookViewId="0">
      <selection activeCell="J24" sqref="J24"/>
    </sheetView>
  </sheetViews>
  <sheetFormatPr defaultRowHeight="20.25"/>
  <cols>
    <col min="1" max="1" width="9" style="3"/>
    <col min="2" max="2" width="11.875" style="2" customWidth="1"/>
    <col min="3" max="3" width="11.125" style="3" customWidth="1"/>
    <col min="4" max="4" width="12.25" style="2" customWidth="1"/>
    <col min="5" max="5" width="10.625" style="2" customWidth="1"/>
    <col min="6" max="6" width="9" style="3"/>
    <col min="7" max="7" width="17.125" style="3" customWidth="1"/>
    <col min="8" max="8" width="9.5" style="3" customWidth="1"/>
    <col min="9" max="9" width="13" style="3" customWidth="1"/>
    <col min="10" max="10" width="10.375" style="1" customWidth="1"/>
    <col min="11" max="11" width="7" style="3" customWidth="1"/>
    <col min="12" max="12" width="11.625" style="3" customWidth="1"/>
    <col min="13" max="13" width="25.25" style="3" customWidth="1"/>
    <col min="14" max="16384" width="9" style="3"/>
  </cols>
  <sheetData>
    <row r="2" spans="2:12">
      <c r="B2" s="3" t="s">
        <v>1</v>
      </c>
      <c r="C2" s="2"/>
      <c r="D2" s="2">
        <v>60</v>
      </c>
      <c r="E2" s="2" t="s">
        <v>2</v>
      </c>
    </row>
    <row r="4" spans="2:12">
      <c r="B4" s="3" t="s">
        <v>5</v>
      </c>
      <c r="D4" s="2">
        <v>5</v>
      </c>
      <c r="E4" s="3"/>
    </row>
    <row r="6" spans="2:12" s="4" customFormat="1" ht="60.75">
      <c r="B6" s="5" t="s">
        <v>0</v>
      </c>
      <c r="C6" s="6" t="s">
        <v>19</v>
      </c>
      <c r="D6" s="6" t="s">
        <v>4</v>
      </c>
      <c r="E6" s="5" t="s">
        <v>3</v>
      </c>
      <c r="G6" s="9" t="s">
        <v>20</v>
      </c>
      <c r="H6" s="9" t="s">
        <v>6</v>
      </c>
      <c r="I6" s="9" t="s">
        <v>18</v>
      </c>
      <c r="J6" s="9" t="s">
        <v>15</v>
      </c>
      <c r="K6" s="9" t="s">
        <v>16</v>
      </c>
      <c r="L6" s="9" t="s">
        <v>17</v>
      </c>
    </row>
    <row r="7" spans="2:12">
      <c r="B7" s="7">
        <v>1</v>
      </c>
      <c r="C7" s="8">
        <v>300</v>
      </c>
      <c r="D7" s="7">
        <v>60</v>
      </c>
      <c r="E7" s="7">
        <v>2</v>
      </c>
      <c r="G7" s="10">
        <f>ROUND(C7/D7,4)</f>
        <v>5</v>
      </c>
      <c r="H7" s="10">
        <f>G7*E7</f>
        <v>10</v>
      </c>
      <c r="I7" s="10">
        <f>G7*G7</f>
        <v>25</v>
      </c>
      <c r="J7" s="11">
        <f>G7</f>
        <v>5</v>
      </c>
      <c r="K7" s="10">
        <f>$C$17*J7+$C$18</f>
        <v>1.9757311251424632</v>
      </c>
      <c r="L7" s="10">
        <f>K7-E7</f>
        <v>-2.4268874857536815E-2</v>
      </c>
    </row>
    <row r="8" spans="2:12">
      <c r="B8" s="7">
        <v>2</v>
      </c>
      <c r="C8" s="8">
        <v>399</v>
      </c>
      <c r="D8" s="7">
        <v>60</v>
      </c>
      <c r="E8" s="7">
        <f>E7+2</f>
        <v>4</v>
      </c>
      <c r="G8" s="10">
        <f>ROUND(C8/D8,4)</f>
        <v>6.65</v>
      </c>
      <c r="H8" s="10">
        <f>G8*E8</f>
        <v>26.6</v>
      </c>
      <c r="I8" s="10">
        <f t="shared" ref="I8:I11" si="0">G8*G8</f>
        <v>44.222500000000004</v>
      </c>
      <c r="J8" s="11">
        <f>J7+$J$13</f>
        <v>6.625</v>
      </c>
      <c r="K8" s="10">
        <f>$C$17*J8+$C$18</f>
        <v>3.9735183765870117</v>
      </c>
      <c r="L8" s="10">
        <f>K8-E8</f>
        <v>-2.648162341298832E-2</v>
      </c>
    </row>
    <row r="9" spans="2:12">
      <c r="B9" s="7">
        <v>3</v>
      </c>
      <c r="C9" s="8">
        <v>498</v>
      </c>
      <c r="D9" s="7">
        <v>60</v>
      </c>
      <c r="E9" s="7">
        <f t="shared" ref="E9:E11" si="1">E8+2</f>
        <v>6</v>
      </c>
      <c r="G9" s="10">
        <f>ROUND(C9/D9,4)</f>
        <v>8.3000000000000007</v>
      </c>
      <c r="H9" s="10">
        <f>G9*E9</f>
        <v>49.800000000000004</v>
      </c>
      <c r="I9" s="10">
        <f t="shared" si="0"/>
        <v>68.890000000000015</v>
      </c>
      <c r="J9" s="11">
        <f t="shared" ref="J9:J11" si="2">J8+$J$13</f>
        <v>8.25</v>
      </c>
      <c r="K9" s="10">
        <f>$C$17*J9+$C$18</f>
        <v>5.9713056280315593</v>
      </c>
      <c r="L9" s="10">
        <f>K9-E9</f>
        <v>-2.8694371968440713E-2</v>
      </c>
    </row>
    <row r="10" spans="2:12">
      <c r="B10" s="7">
        <v>4</v>
      </c>
      <c r="C10" s="8">
        <v>595</v>
      </c>
      <c r="D10" s="7">
        <v>60</v>
      </c>
      <c r="E10" s="7">
        <f t="shared" si="1"/>
        <v>8</v>
      </c>
      <c r="G10" s="10">
        <f>ROUND(C10/D10,4)</f>
        <v>9.9167000000000005</v>
      </c>
      <c r="H10" s="10">
        <f>G10*E10</f>
        <v>79.333600000000004</v>
      </c>
      <c r="I10" s="10">
        <f t="shared" si="0"/>
        <v>98.340938890000004</v>
      </c>
      <c r="J10" s="11">
        <f t="shared" si="2"/>
        <v>9.875</v>
      </c>
      <c r="K10" s="10">
        <f>$C$17*J10+$C$18</f>
        <v>7.9690928794761087</v>
      </c>
      <c r="L10" s="10">
        <f>K10-E10</f>
        <v>-3.0907120523891329E-2</v>
      </c>
    </row>
    <row r="11" spans="2:12">
      <c r="B11" s="7">
        <v>5</v>
      </c>
      <c r="C11" s="8">
        <v>690</v>
      </c>
      <c r="D11" s="7">
        <v>60</v>
      </c>
      <c r="E11" s="7">
        <f t="shared" si="1"/>
        <v>10</v>
      </c>
      <c r="G11" s="10">
        <f>ROUND(C11/D11,4)</f>
        <v>11.5</v>
      </c>
      <c r="H11" s="10">
        <f>G11*E11</f>
        <v>115</v>
      </c>
      <c r="I11" s="10">
        <f t="shared" si="0"/>
        <v>132.25</v>
      </c>
      <c r="J11" s="11">
        <f t="shared" si="2"/>
        <v>11.5</v>
      </c>
      <c r="K11" s="10">
        <f>$C$17*J11+$C$18</f>
        <v>9.9668801309206572</v>
      </c>
      <c r="L11" s="10">
        <f>K11-E11</f>
        <v>-3.3119869079342834E-2</v>
      </c>
    </row>
    <row r="12" spans="2:12">
      <c r="E12" s="18" t="s">
        <v>8</v>
      </c>
      <c r="G12" s="12" t="s">
        <v>7</v>
      </c>
      <c r="H12" s="10" t="s">
        <v>9</v>
      </c>
      <c r="I12" s="10" t="s">
        <v>11</v>
      </c>
      <c r="J12" s="11"/>
      <c r="K12" s="10"/>
      <c r="L12" s="10" t="s">
        <v>21</v>
      </c>
    </row>
    <row r="13" spans="2:12">
      <c r="E13" s="18">
        <f>SUM(E7:E11)</f>
        <v>30</v>
      </c>
      <c r="G13" s="10">
        <f>SUM(G7:G11)</f>
        <v>41.366700000000002</v>
      </c>
      <c r="H13" s="10">
        <f>SUM(H7:H11)</f>
        <v>280.73360000000002</v>
      </c>
      <c r="I13" s="10">
        <f>SUM(I7:I11)</f>
        <v>368.70343889000003</v>
      </c>
      <c r="J13" s="13">
        <f>(G11-G7)/(D4-1)</f>
        <v>1.625</v>
      </c>
      <c r="K13" s="10"/>
      <c r="L13" s="10">
        <f>SUM(L7:L11)/5</f>
        <v>-2.8694371968440002E-2</v>
      </c>
    </row>
    <row r="14" spans="2:12">
      <c r="G14" s="14"/>
      <c r="H14" s="14"/>
      <c r="I14" s="14"/>
      <c r="J14" s="15"/>
      <c r="K14" s="14"/>
      <c r="L14" s="14"/>
    </row>
    <row r="15" spans="2:12">
      <c r="G15" s="16" t="s">
        <v>12</v>
      </c>
      <c r="H15" s="16">
        <f>D4*H13-E13*G13</f>
        <v>162.66700000000014</v>
      </c>
      <c r="I15" s="17" t="s">
        <v>13</v>
      </c>
      <c r="J15" s="16">
        <f>D4*I13-G13*G13</f>
        <v>132.31332556000007</v>
      </c>
      <c r="K15" s="14"/>
      <c r="L15" s="14"/>
    </row>
    <row r="16" spans="2:12">
      <c r="B16" s="19" t="s">
        <v>22</v>
      </c>
      <c r="C16" s="20"/>
    </row>
    <row r="17" spans="2:3">
      <c r="B17" s="19" t="s">
        <v>10</v>
      </c>
      <c r="C17" s="21">
        <f>H15/J15</f>
        <v>1.2294075393504913</v>
      </c>
    </row>
    <row r="18" spans="2:3">
      <c r="B18" s="19" t="s">
        <v>14</v>
      </c>
      <c r="C18" s="21">
        <f>(E13-C17*G13)/D4</f>
        <v>-4.1713065716099935</v>
      </c>
    </row>
    <row r="36" spans="2:2">
      <c r="B36" s="3" t="s">
        <v>23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C2:D14"/>
  <sheetViews>
    <sheetView workbookViewId="0">
      <selection activeCell="D28" sqref="D28"/>
    </sheetView>
  </sheetViews>
  <sheetFormatPr defaultRowHeight="13.5"/>
  <sheetData>
    <row r="2" spans="3:4">
      <c r="C2">
        <v>0</v>
      </c>
      <c r="D2">
        <f>SIN(C2*PI()/180)</f>
        <v>0</v>
      </c>
    </row>
    <row r="3" spans="3:4">
      <c r="C3">
        <f>C2+30</f>
        <v>30</v>
      </c>
      <c r="D3">
        <f t="shared" ref="D3:D14" si="0">SIN(C3*PI()/180)</f>
        <v>0.49999999999999994</v>
      </c>
    </row>
    <row r="4" spans="3:4">
      <c r="C4">
        <f t="shared" ref="C4:C14" si="1">C3+30</f>
        <v>60</v>
      </c>
      <c r="D4">
        <f t="shared" si="0"/>
        <v>0.8660254037844386</v>
      </c>
    </row>
    <row r="5" spans="3:4">
      <c r="C5">
        <f t="shared" si="1"/>
        <v>90</v>
      </c>
      <c r="D5">
        <f t="shared" si="0"/>
        <v>1</v>
      </c>
    </row>
    <row r="6" spans="3:4">
      <c r="C6">
        <f t="shared" si="1"/>
        <v>120</v>
      </c>
      <c r="D6">
        <f t="shared" si="0"/>
        <v>0.86602540378443871</v>
      </c>
    </row>
    <row r="7" spans="3:4">
      <c r="C7">
        <f t="shared" si="1"/>
        <v>150</v>
      </c>
      <c r="D7">
        <f t="shared" si="0"/>
        <v>0.49999999999999994</v>
      </c>
    </row>
    <row r="8" spans="3:4">
      <c r="C8">
        <f t="shared" si="1"/>
        <v>180</v>
      </c>
      <c r="D8">
        <f t="shared" si="0"/>
        <v>1.22514845490862E-16</v>
      </c>
    </row>
    <row r="9" spans="3:4">
      <c r="C9">
        <f t="shared" si="1"/>
        <v>210</v>
      </c>
      <c r="D9">
        <f t="shared" si="0"/>
        <v>-0.50000000000000011</v>
      </c>
    </row>
    <row r="10" spans="3:4">
      <c r="C10">
        <f t="shared" si="1"/>
        <v>240</v>
      </c>
      <c r="D10">
        <f t="shared" si="0"/>
        <v>-0.86602540378443837</v>
      </c>
    </row>
    <row r="11" spans="3:4">
      <c r="C11">
        <f t="shared" si="1"/>
        <v>270</v>
      </c>
      <c r="D11">
        <f t="shared" si="0"/>
        <v>-1</v>
      </c>
    </row>
    <row r="12" spans="3:4">
      <c r="C12">
        <f t="shared" si="1"/>
        <v>300</v>
      </c>
      <c r="D12">
        <f t="shared" si="0"/>
        <v>-0.8660254037844386</v>
      </c>
    </row>
    <row r="13" spans="3:4">
      <c r="C13">
        <f t="shared" si="1"/>
        <v>330</v>
      </c>
      <c r="D13">
        <f t="shared" si="0"/>
        <v>-0.50000000000000044</v>
      </c>
    </row>
    <row r="14" spans="3:4">
      <c r="C14">
        <f t="shared" si="1"/>
        <v>360</v>
      </c>
      <c r="D14">
        <f t="shared" si="0"/>
        <v>-2.45029690981724E-16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2021-02-07T08:52:06Z</dcterms:modified>
</cp:coreProperties>
</file>